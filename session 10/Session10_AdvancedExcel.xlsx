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"/>
    </mc:Choice>
  </mc:AlternateContent>
  <xr:revisionPtr revIDLastSave="144" documentId="8_{109225E4-802F-42B6-A5E6-ECBD18E1EB27}" xr6:coauthVersionLast="47" xr6:coauthVersionMax="47" xr10:uidLastSave="{365F180C-8DE0-4E6F-A1D9-1C56E6996F49}"/>
  <bookViews>
    <workbookView xWindow="-108" yWindow="-108" windowWidth="23256" windowHeight="12456" activeTab="4" xr2:uid="{8CED0B75-B19F-485F-924D-4ACE4AF4759D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5" l="1"/>
  <c r="H3" i="5"/>
  <c r="G2" i="4"/>
  <c r="G3" i="3"/>
  <c r="G2" i="3"/>
  <c r="G4" i="2"/>
  <c r="G3" i="2"/>
  <c r="G2" i="2"/>
  <c r="G3" i="1"/>
  <c r="G4" i="1"/>
  <c r="G5" i="1"/>
  <c r="G6" i="1"/>
  <c r="G2" i="1"/>
</calcChain>
</file>

<file path=xl/sharedStrings.xml><?xml version="1.0" encoding="utf-8"?>
<sst xmlns="http://schemas.openxmlformats.org/spreadsheetml/2006/main" count="162" uniqueCount="121">
  <si>
    <t>Product ID</t>
  </si>
  <si>
    <t>Product Name</t>
  </si>
  <si>
    <t>Category</t>
  </si>
  <si>
    <t>Price</t>
  </si>
  <si>
    <t>P001</t>
  </si>
  <si>
    <t>Samsung Galaxy M14</t>
  </si>
  <si>
    <t>Mobile</t>
  </si>
  <si>
    <t>P002</t>
  </si>
  <si>
    <t>iPhone 15</t>
  </si>
  <si>
    <t>P003</t>
  </si>
  <si>
    <t>HP Laptop</t>
  </si>
  <si>
    <t>Laptop</t>
  </si>
  <si>
    <t>P004</t>
  </si>
  <si>
    <t>Lenovo Laptop</t>
  </si>
  <si>
    <t>P005</t>
  </si>
  <si>
    <t>Boat Headphones</t>
  </si>
  <si>
    <t>Audio</t>
  </si>
  <si>
    <t>P006</t>
  </si>
  <si>
    <t>Realme Earbuds</t>
  </si>
  <si>
    <t>P007</t>
  </si>
  <si>
    <t>Samsung Smart TV</t>
  </si>
  <si>
    <t>Electronics</t>
  </si>
  <si>
    <t>P008</t>
  </si>
  <si>
    <t>Canon Printer</t>
  </si>
  <si>
    <t>P009</t>
  </si>
  <si>
    <t>Logitech Mouse</t>
  </si>
  <si>
    <t>Accessories</t>
  </si>
  <si>
    <t>P010</t>
  </si>
  <si>
    <t>Portronics Keyboard</t>
  </si>
  <si>
    <t>Order ID</t>
  </si>
  <si>
    <t>Restaurant Name</t>
  </si>
  <si>
    <t>Order Date</t>
  </si>
  <si>
    <t>Amount</t>
  </si>
  <si>
    <t>Z001</t>
  </si>
  <si>
    <t>Pizza Hut</t>
  </si>
  <si>
    <t>Z002</t>
  </si>
  <si>
    <t>Domino's</t>
  </si>
  <si>
    <t>Z003</t>
  </si>
  <si>
    <t>Z004</t>
  </si>
  <si>
    <t>KFC</t>
  </si>
  <si>
    <t>Z005</t>
  </si>
  <si>
    <t>Z006</t>
  </si>
  <si>
    <t>Z007</t>
  </si>
  <si>
    <t>Z008</t>
  </si>
  <si>
    <t>Z009</t>
  </si>
  <si>
    <t>Z010</t>
  </si>
  <si>
    <t>Last Order Amount</t>
  </si>
  <si>
    <t>Playlist Name</t>
  </si>
  <si>
    <t>Genre</t>
  </si>
  <si>
    <t>Created By</t>
  </si>
  <si>
    <t>Number of Songs</t>
  </si>
  <si>
    <t>Bollywood Hits</t>
  </si>
  <si>
    <t>Bollywood</t>
  </si>
  <si>
    <t>Jaya</t>
  </si>
  <si>
    <t>Chill Vibes</t>
  </si>
  <si>
    <t>Chill</t>
  </si>
  <si>
    <t>Riya</t>
  </si>
  <si>
    <t>Workout Mix</t>
  </si>
  <si>
    <t>Fitness</t>
  </si>
  <si>
    <t>Aman</t>
  </si>
  <si>
    <t>Romantic Melodies</t>
  </si>
  <si>
    <t>Romantic</t>
  </si>
  <si>
    <t>Neha</t>
  </si>
  <si>
    <t>Party Anthems</t>
  </si>
  <si>
    <t>Party</t>
  </si>
  <si>
    <t>Rahul</t>
  </si>
  <si>
    <t>Genre to Search</t>
  </si>
  <si>
    <t>Playlist name</t>
  </si>
  <si>
    <t>Classical</t>
  </si>
  <si>
    <t>Booking ID</t>
  </si>
  <si>
    <t>Passenger Name</t>
  </si>
  <si>
    <t>Train Number</t>
  </si>
  <si>
    <t>Status</t>
  </si>
  <si>
    <t>B001</t>
  </si>
  <si>
    <t>Jaya Punjabi</t>
  </si>
  <si>
    <t>Confirmed</t>
  </si>
  <si>
    <t>B002</t>
  </si>
  <si>
    <t>Riya Shah</t>
  </si>
  <si>
    <t>Waiting List</t>
  </si>
  <si>
    <t>B003</t>
  </si>
  <si>
    <t>Aman Patel</t>
  </si>
  <si>
    <t>B004</t>
  </si>
  <si>
    <t>Neha Joshi</t>
  </si>
  <si>
    <t>RAC</t>
  </si>
  <si>
    <t>B005</t>
  </si>
  <si>
    <t>Rahul Mehta</t>
  </si>
  <si>
    <t>Cancelled</t>
  </si>
  <si>
    <t>B006</t>
  </si>
  <si>
    <t>Priya Desai</t>
  </si>
  <si>
    <t>B007</t>
  </si>
  <si>
    <t>Karan Shah</t>
  </si>
  <si>
    <t>B008</t>
  </si>
  <si>
    <t>Simran Patel</t>
  </si>
  <si>
    <t>Booking Status</t>
  </si>
  <si>
    <t>Customer Name</t>
  </si>
  <si>
    <t>Delivery Date</t>
  </si>
  <si>
    <t>M001</t>
  </si>
  <si>
    <t>Kurti</t>
  </si>
  <si>
    <t>M002</t>
  </si>
  <si>
    <t>Jeans</t>
  </si>
  <si>
    <t>M003</t>
  </si>
  <si>
    <t>Saree</t>
  </si>
  <si>
    <t>M004</t>
  </si>
  <si>
    <t>Handbag</t>
  </si>
  <si>
    <t>Priya</t>
  </si>
  <si>
    <t>M005</t>
  </si>
  <si>
    <t>Shoes</t>
  </si>
  <si>
    <t>Simran</t>
  </si>
  <si>
    <t>M006</t>
  </si>
  <si>
    <t>Dress</t>
  </si>
  <si>
    <t>M007</t>
  </si>
  <si>
    <t>Top</t>
  </si>
  <si>
    <t>Karan</t>
  </si>
  <si>
    <t>M008</t>
  </si>
  <si>
    <t>Jacket</t>
  </si>
  <si>
    <t>M009</t>
  </si>
  <si>
    <t>Watch</t>
  </si>
  <si>
    <t>Ananya</t>
  </si>
  <si>
    <t>M010</t>
  </si>
  <si>
    <t>Bag</t>
  </si>
  <si>
    <t>Meera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</si>
</sst>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35D7-130E-4CD1-9F5A-00B6EEC1EC4E}">
  <dimension ref="A1:G11"/>
  <sheetViews>
    <sheetView workbookViewId="0">
      <selection activeCell="G14" sqref="G14"/>
    </sheetView>
  </sheetViews>
  <sheetFormatPr defaultRowHeight="14.4" x14ac:dyDescent="0.3"/>
  <cols>
    <col min="1" max="1" width="10.77734375" customWidth="1"/>
    <col min="2" max="2" width="21" customWidth="1"/>
    <col min="3" max="3" width="13.44140625" customWidth="1"/>
    <col min="6" max="6" width="12.44140625" customWidth="1"/>
    <col min="7" max="7" width="18.7773437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</row>
    <row r="2" spans="1:7" x14ac:dyDescent="0.3">
      <c r="A2" t="s">
        <v>4</v>
      </c>
      <c r="B2" t="s">
        <v>5</v>
      </c>
      <c r="C2" t="s">
        <v>6</v>
      </c>
      <c r="D2">
        <v>12999</v>
      </c>
      <c r="F2" t="s">
        <v>9</v>
      </c>
      <c r="G2" t="str">
        <f>_xlfn.XLOOKUP(F2,A2:A11,B2:B11)</f>
        <v>HP Laptop</v>
      </c>
    </row>
    <row r="3" spans="1:7" x14ac:dyDescent="0.3">
      <c r="A3" t="s">
        <v>7</v>
      </c>
      <c r="B3" t="s">
        <v>8</v>
      </c>
      <c r="C3" t="s">
        <v>6</v>
      </c>
      <c r="D3">
        <v>59999</v>
      </c>
      <c r="F3" t="s">
        <v>4</v>
      </c>
      <c r="G3" t="str">
        <f>_xlfn.XLOOKUP(F3,A2:A11,B2:B11)</f>
        <v>Samsung Galaxy M14</v>
      </c>
    </row>
    <row r="4" spans="1:7" x14ac:dyDescent="0.3">
      <c r="A4" t="s">
        <v>9</v>
      </c>
      <c r="B4" t="s">
        <v>10</v>
      </c>
      <c r="C4" t="s">
        <v>11</v>
      </c>
      <c r="D4">
        <v>49999</v>
      </c>
      <c r="F4" t="s">
        <v>17</v>
      </c>
      <c r="G4" t="str">
        <f t="shared" ref="G3:G6" si="0">_xlfn.XLOOKUP(F4,A4:A13,B4:B13)</f>
        <v>Realme Earbuds</v>
      </c>
    </row>
    <row r="5" spans="1:7" x14ac:dyDescent="0.3">
      <c r="A5" t="s">
        <v>12</v>
      </c>
      <c r="B5" t="s">
        <v>13</v>
      </c>
      <c r="C5" t="s">
        <v>11</v>
      </c>
      <c r="D5">
        <v>42999</v>
      </c>
      <c r="F5" t="s">
        <v>24</v>
      </c>
      <c r="G5" t="str">
        <f t="shared" si="0"/>
        <v>Logitech Mouse</v>
      </c>
    </row>
    <row r="6" spans="1:7" x14ac:dyDescent="0.3">
      <c r="A6" t="s">
        <v>14</v>
      </c>
      <c r="B6" t="s">
        <v>15</v>
      </c>
      <c r="C6" t="s">
        <v>16</v>
      </c>
      <c r="D6">
        <v>1499</v>
      </c>
      <c r="F6" t="s">
        <v>27</v>
      </c>
      <c r="G6" t="str">
        <f t="shared" si="0"/>
        <v>Portronics Keyboard</v>
      </c>
    </row>
    <row r="7" spans="1:7" x14ac:dyDescent="0.3">
      <c r="A7" t="s">
        <v>17</v>
      </c>
      <c r="B7" t="s">
        <v>18</v>
      </c>
      <c r="C7" t="s">
        <v>16</v>
      </c>
      <c r="D7">
        <v>1299</v>
      </c>
    </row>
    <row r="8" spans="1:7" x14ac:dyDescent="0.3">
      <c r="A8" t="s">
        <v>19</v>
      </c>
      <c r="B8" t="s">
        <v>20</v>
      </c>
      <c r="C8" t="s">
        <v>21</v>
      </c>
      <c r="D8">
        <v>32999</v>
      </c>
    </row>
    <row r="9" spans="1:7" x14ac:dyDescent="0.3">
      <c r="A9" t="s">
        <v>22</v>
      </c>
      <c r="B9" t="s">
        <v>23</v>
      </c>
      <c r="C9" t="s">
        <v>21</v>
      </c>
      <c r="D9">
        <v>8999</v>
      </c>
    </row>
    <row r="10" spans="1:7" x14ac:dyDescent="0.3">
      <c r="A10" t="s">
        <v>24</v>
      </c>
      <c r="B10" t="s">
        <v>25</v>
      </c>
      <c r="C10" t="s">
        <v>26</v>
      </c>
      <c r="D10">
        <v>799</v>
      </c>
    </row>
    <row r="11" spans="1:7" x14ac:dyDescent="0.3">
      <c r="A11" t="s">
        <v>27</v>
      </c>
      <c r="B11" t="s">
        <v>28</v>
      </c>
      <c r="C11" t="s">
        <v>26</v>
      </c>
      <c r="D11">
        <v>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63A6-A55C-4264-ABF7-D6154BD0E48C}">
  <dimension ref="A1:G11"/>
  <sheetViews>
    <sheetView workbookViewId="0">
      <selection activeCell="F17" sqref="F17"/>
    </sheetView>
  </sheetViews>
  <sheetFormatPr defaultRowHeight="14.4" x14ac:dyDescent="0.3"/>
  <cols>
    <col min="2" max="2" width="17.21875" bestFit="1" customWidth="1"/>
    <col min="3" max="3" width="13" customWidth="1"/>
    <col min="6" max="6" width="17.21875" bestFit="1" customWidth="1"/>
    <col min="7" max="7" width="18.44140625" bestFit="1" customWidth="1"/>
  </cols>
  <sheetData>
    <row r="1" spans="1:7" ht="15.6" x14ac:dyDescent="0.3">
      <c r="A1" s="1" t="s">
        <v>29</v>
      </c>
      <c r="B1" s="1" t="s">
        <v>30</v>
      </c>
      <c r="C1" s="1" t="s">
        <v>31</v>
      </c>
      <c r="D1" s="1" t="s">
        <v>32</v>
      </c>
      <c r="F1" s="1" t="s">
        <v>30</v>
      </c>
      <c r="G1" s="1" t="s">
        <v>46</v>
      </c>
    </row>
    <row r="2" spans="1:7" x14ac:dyDescent="0.3">
      <c r="A2" t="s">
        <v>33</v>
      </c>
      <c r="B2" t="s">
        <v>34</v>
      </c>
      <c r="C2" s="2">
        <v>46266</v>
      </c>
      <c r="D2">
        <v>850</v>
      </c>
      <c r="F2" t="s">
        <v>34</v>
      </c>
      <c r="G2">
        <f>_xlfn.XLOOKUP(F2,B2:B11,D2:D11,,0,-1)</f>
        <v>900</v>
      </c>
    </row>
    <row r="3" spans="1:7" x14ac:dyDescent="0.3">
      <c r="A3" t="s">
        <v>35</v>
      </c>
      <c r="B3" t="s">
        <v>36</v>
      </c>
      <c r="C3" s="2">
        <v>46267</v>
      </c>
      <c r="D3">
        <v>650</v>
      </c>
      <c r="F3" t="s">
        <v>36</v>
      </c>
      <c r="G3">
        <f>_xlfn.XLOOKUP(F3,B2:B11,D2:D11,,0,-1)</f>
        <v>800</v>
      </c>
    </row>
    <row r="4" spans="1:7" x14ac:dyDescent="0.3">
      <c r="A4" t="s">
        <v>37</v>
      </c>
      <c r="B4" t="s">
        <v>34</v>
      </c>
      <c r="C4" s="2">
        <v>46268</v>
      </c>
      <c r="D4">
        <v>1200</v>
      </c>
      <c r="F4" t="s">
        <v>39</v>
      </c>
      <c r="G4">
        <f>_xlfn.XLOOKUP(F4,B2:B11,D2:D11,,0,-1)</f>
        <v>1300</v>
      </c>
    </row>
    <row r="5" spans="1:7" x14ac:dyDescent="0.3">
      <c r="A5" t="s">
        <v>38</v>
      </c>
      <c r="B5" t="s">
        <v>39</v>
      </c>
      <c r="C5" s="2">
        <v>46269</v>
      </c>
      <c r="D5">
        <v>750</v>
      </c>
    </row>
    <row r="6" spans="1:7" x14ac:dyDescent="0.3">
      <c r="A6" t="s">
        <v>40</v>
      </c>
      <c r="B6" t="s">
        <v>36</v>
      </c>
      <c r="C6" s="2">
        <v>46270</v>
      </c>
      <c r="D6">
        <v>950</v>
      </c>
    </row>
    <row r="7" spans="1:7" x14ac:dyDescent="0.3">
      <c r="A7" t="s">
        <v>41</v>
      </c>
      <c r="B7" t="s">
        <v>34</v>
      </c>
      <c r="C7" s="2">
        <v>46271</v>
      </c>
      <c r="D7">
        <v>1500</v>
      </c>
    </row>
    <row r="8" spans="1:7" x14ac:dyDescent="0.3">
      <c r="A8" t="s">
        <v>42</v>
      </c>
      <c r="B8" t="s">
        <v>39</v>
      </c>
      <c r="C8" s="2">
        <v>46272</v>
      </c>
      <c r="D8">
        <v>1100</v>
      </c>
    </row>
    <row r="9" spans="1:7" x14ac:dyDescent="0.3">
      <c r="A9" t="s">
        <v>43</v>
      </c>
      <c r="B9" t="s">
        <v>36</v>
      </c>
      <c r="C9" s="2">
        <v>46273</v>
      </c>
      <c r="D9">
        <v>800</v>
      </c>
    </row>
    <row r="10" spans="1:7" x14ac:dyDescent="0.3">
      <c r="A10" t="s">
        <v>44</v>
      </c>
      <c r="B10" t="s">
        <v>34</v>
      </c>
      <c r="C10" s="2">
        <v>46274</v>
      </c>
      <c r="D10">
        <v>900</v>
      </c>
    </row>
    <row r="11" spans="1:7" x14ac:dyDescent="0.3">
      <c r="A11" t="s">
        <v>45</v>
      </c>
      <c r="B11" t="s">
        <v>39</v>
      </c>
      <c r="C11" s="2">
        <v>46275</v>
      </c>
      <c r="D11">
        <v>1300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4531-3EB2-4994-9708-FA79572DE7D6}">
  <dimension ref="A1:G6"/>
  <sheetViews>
    <sheetView workbookViewId="0">
      <selection activeCell="G14" sqref="G14"/>
    </sheetView>
  </sheetViews>
  <sheetFormatPr defaultRowHeight="14.4" x14ac:dyDescent="0.3"/>
  <cols>
    <col min="1" max="1" width="17.44140625" customWidth="1"/>
    <col min="2" max="2" width="13.5546875" customWidth="1"/>
    <col min="3" max="3" width="11.77734375" customWidth="1"/>
    <col min="4" max="4" width="14.44140625" customWidth="1"/>
    <col min="6" max="6" width="14.21875" bestFit="1" customWidth="1"/>
    <col min="7" max="7" width="16.77734375" bestFit="1" customWidth="1"/>
  </cols>
  <sheetData>
    <row r="1" spans="1:7" x14ac:dyDescent="0.3">
      <c r="A1" s="3" t="s">
        <v>47</v>
      </c>
      <c r="B1" s="3" t="s">
        <v>48</v>
      </c>
      <c r="C1" s="3" t="s">
        <v>49</v>
      </c>
      <c r="D1" s="3" t="s">
        <v>50</v>
      </c>
      <c r="F1" s="3" t="s">
        <v>66</v>
      </c>
      <c r="G1" s="3" t="s">
        <v>67</v>
      </c>
    </row>
    <row r="2" spans="1:7" x14ac:dyDescent="0.3">
      <c r="A2" t="s">
        <v>51</v>
      </c>
      <c r="B2" t="s">
        <v>52</v>
      </c>
      <c r="C2" t="s">
        <v>53</v>
      </c>
      <c r="D2" s="4">
        <v>50</v>
      </c>
      <c r="F2" t="s">
        <v>55</v>
      </c>
      <c r="G2" t="str">
        <f>_xlfn.XLOOKUP(F2,B2:B6,A2:A6,"No Playlist available")</f>
        <v>Chill Vibes</v>
      </c>
    </row>
    <row r="3" spans="1:7" x14ac:dyDescent="0.3">
      <c r="A3" t="s">
        <v>54</v>
      </c>
      <c r="B3" t="s">
        <v>55</v>
      </c>
      <c r="C3" t="s">
        <v>56</v>
      </c>
      <c r="D3" s="4">
        <v>35</v>
      </c>
      <c r="F3" t="s">
        <v>68</v>
      </c>
      <c r="G3" t="str">
        <f>_xlfn.XLOOKUP(F3,B2:B6,A2:A6,"No playlist available")</f>
        <v>No playlist available</v>
      </c>
    </row>
    <row r="4" spans="1:7" x14ac:dyDescent="0.3">
      <c r="A4" t="s">
        <v>57</v>
      </c>
      <c r="B4" t="s">
        <v>58</v>
      </c>
      <c r="C4" t="s">
        <v>59</v>
      </c>
      <c r="D4" s="4">
        <v>40</v>
      </c>
    </row>
    <row r="5" spans="1:7" x14ac:dyDescent="0.3">
      <c r="A5" t="s">
        <v>60</v>
      </c>
      <c r="B5" t="s">
        <v>61</v>
      </c>
      <c r="C5" t="s">
        <v>62</v>
      </c>
      <c r="D5" s="4">
        <v>30</v>
      </c>
    </row>
    <row r="6" spans="1:7" x14ac:dyDescent="0.3">
      <c r="A6" t="s">
        <v>63</v>
      </c>
      <c r="B6" t="s">
        <v>64</v>
      </c>
      <c r="C6" t="s">
        <v>65</v>
      </c>
      <c r="D6" s="4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4984-EF46-4852-83E0-A1DF9FC2E5AB}">
  <dimension ref="A1:G9"/>
  <sheetViews>
    <sheetView workbookViewId="0">
      <selection activeCell="F3" sqref="F3"/>
    </sheetView>
  </sheetViews>
  <sheetFormatPr defaultRowHeight="14.4" x14ac:dyDescent="0.3"/>
  <cols>
    <col min="1" max="1" width="10.44140625" customWidth="1"/>
    <col min="2" max="2" width="15" customWidth="1"/>
    <col min="3" max="3" width="11.88671875" bestFit="1" customWidth="1"/>
    <col min="4" max="4" width="13.21875" customWidth="1"/>
    <col min="6" max="6" width="13.77734375" customWidth="1"/>
    <col min="7" max="7" width="14.77734375" bestFit="1" customWidth="1"/>
  </cols>
  <sheetData>
    <row r="1" spans="1:7" ht="15.6" x14ac:dyDescent="0.3">
      <c r="A1" s="1" t="s">
        <v>69</v>
      </c>
      <c r="B1" s="1" t="s">
        <v>70</v>
      </c>
      <c r="C1" s="1" t="s">
        <v>71</v>
      </c>
      <c r="D1" s="1" t="s">
        <v>72</v>
      </c>
      <c r="F1" s="1" t="s">
        <v>69</v>
      </c>
      <c r="G1" s="1" t="s">
        <v>93</v>
      </c>
    </row>
    <row r="2" spans="1:7" x14ac:dyDescent="0.3">
      <c r="A2" t="s">
        <v>73</v>
      </c>
      <c r="B2" t="s">
        <v>74</v>
      </c>
      <c r="C2" s="4">
        <v>12901</v>
      </c>
      <c r="D2" t="s">
        <v>75</v>
      </c>
      <c r="F2" s="4">
        <v>8999</v>
      </c>
      <c r="G2" t="str">
        <f>_xlfn.XLOOKUP(F2,A2:A9,D2:D9,"Booking Not Found")</f>
        <v>Booking Not Found</v>
      </c>
    </row>
    <row r="3" spans="1:7" x14ac:dyDescent="0.3">
      <c r="A3" t="s">
        <v>76</v>
      </c>
      <c r="B3" t="s">
        <v>77</v>
      </c>
      <c r="C3" s="4">
        <v>19015</v>
      </c>
      <c r="D3" t="s">
        <v>78</v>
      </c>
    </row>
    <row r="4" spans="1:7" x14ac:dyDescent="0.3">
      <c r="A4" t="s">
        <v>79</v>
      </c>
      <c r="B4" t="s">
        <v>80</v>
      </c>
      <c r="C4" s="4">
        <v>12903</v>
      </c>
      <c r="D4" t="s">
        <v>75</v>
      </c>
    </row>
    <row r="5" spans="1:7" x14ac:dyDescent="0.3">
      <c r="A5" t="s">
        <v>81</v>
      </c>
      <c r="B5" t="s">
        <v>82</v>
      </c>
      <c r="C5" s="4">
        <v>19016</v>
      </c>
      <c r="D5" t="s">
        <v>83</v>
      </c>
    </row>
    <row r="6" spans="1:7" x14ac:dyDescent="0.3">
      <c r="A6" t="s">
        <v>84</v>
      </c>
      <c r="B6" t="s">
        <v>85</v>
      </c>
      <c r="C6" s="4">
        <v>12904</v>
      </c>
      <c r="D6" t="s">
        <v>86</v>
      </c>
    </row>
    <row r="7" spans="1:7" x14ac:dyDescent="0.3">
      <c r="A7" t="s">
        <v>87</v>
      </c>
      <c r="B7" t="s">
        <v>88</v>
      </c>
      <c r="C7" s="4">
        <v>19017</v>
      </c>
      <c r="D7" t="s">
        <v>75</v>
      </c>
    </row>
    <row r="8" spans="1:7" x14ac:dyDescent="0.3">
      <c r="A8" t="s">
        <v>89</v>
      </c>
      <c r="B8" t="s">
        <v>90</v>
      </c>
      <c r="C8" s="4">
        <v>12905</v>
      </c>
      <c r="D8" t="s">
        <v>78</v>
      </c>
    </row>
    <row r="9" spans="1:7" x14ac:dyDescent="0.3">
      <c r="A9" t="s">
        <v>91</v>
      </c>
      <c r="B9" t="s">
        <v>92</v>
      </c>
      <c r="C9" s="4">
        <v>19018</v>
      </c>
      <c r="D9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129E-2AEA-42B6-9371-9E587ADD8AC2}">
  <dimension ref="A1:H11"/>
  <sheetViews>
    <sheetView tabSelected="1" workbookViewId="0">
      <selection activeCell="G8" sqref="G8"/>
    </sheetView>
  </sheetViews>
  <sheetFormatPr defaultRowHeight="14.4" x14ac:dyDescent="0.3"/>
  <cols>
    <col min="1" max="1" width="12.33203125" customWidth="1"/>
    <col min="2" max="2" width="14.44140625" customWidth="1"/>
    <col min="3" max="3" width="16.33203125" customWidth="1"/>
    <col min="4" max="5" width="13.33203125" customWidth="1"/>
    <col min="7" max="7" width="14.33203125" customWidth="1"/>
    <col min="8" max="8" width="15.6640625" customWidth="1"/>
  </cols>
  <sheetData>
    <row r="1" spans="1:8" ht="15.6" x14ac:dyDescent="0.3">
      <c r="A1" s="1" t="s">
        <v>29</v>
      </c>
      <c r="B1" s="1" t="s">
        <v>1</v>
      </c>
      <c r="C1" s="1" t="s">
        <v>94</v>
      </c>
      <c r="D1" s="1" t="s">
        <v>31</v>
      </c>
      <c r="E1" s="1" t="s">
        <v>95</v>
      </c>
      <c r="G1" s="1" t="s">
        <v>29</v>
      </c>
      <c r="H1" s="1" t="s">
        <v>95</v>
      </c>
    </row>
    <row r="2" spans="1:8" x14ac:dyDescent="0.3">
      <c r="A2" t="s">
        <v>96</v>
      </c>
      <c r="B2" t="s">
        <v>97</v>
      </c>
      <c r="C2" t="s">
        <v>53</v>
      </c>
      <c r="D2" s="2">
        <v>46266</v>
      </c>
      <c r="E2" s="2">
        <v>46270</v>
      </c>
      <c r="G2" t="s">
        <v>102</v>
      </c>
      <c r="H2" s="5">
        <f>_xlfn.XLOOKUP(G2,A2:A11,E2:E11,"Order Not Found")</f>
        <v>46274</v>
      </c>
    </row>
    <row r="3" spans="1:8" x14ac:dyDescent="0.3">
      <c r="A3" t="s">
        <v>98</v>
      </c>
      <c r="B3" t="s">
        <v>99</v>
      </c>
      <c r="C3" t="s">
        <v>56</v>
      </c>
      <c r="D3" s="2">
        <v>46267</v>
      </c>
      <c r="E3" s="2">
        <v>46271</v>
      </c>
      <c r="G3" t="s">
        <v>118</v>
      </c>
      <c r="H3" s="5">
        <f>_xlfn.XLOOKUP(G3,A2:A11,E2:E11,,)</f>
        <v>46280</v>
      </c>
    </row>
    <row r="4" spans="1:8" x14ac:dyDescent="0.3">
      <c r="A4" t="s">
        <v>100</v>
      </c>
      <c r="B4" t="s">
        <v>101</v>
      </c>
      <c r="C4" t="s">
        <v>62</v>
      </c>
      <c r="D4" s="2">
        <v>46268</v>
      </c>
      <c r="E4" s="2">
        <v>46273</v>
      </c>
    </row>
    <row r="5" spans="1:8" x14ac:dyDescent="0.3">
      <c r="A5" t="s">
        <v>102</v>
      </c>
      <c r="B5" t="s">
        <v>103</v>
      </c>
      <c r="C5" t="s">
        <v>104</v>
      </c>
      <c r="D5" s="2">
        <v>46269</v>
      </c>
      <c r="E5" s="2">
        <v>46274</v>
      </c>
    </row>
    <row r="6" spans="1:8" x14ac:dyDescent="0.3">
      <c r="A6" t="s">
        <v>105</v>
      </c>
      <c r="B6" t="s">
        <v>106</v>
      </c>
      <c r="C6" t="s">
        <v>107</v>
      </c>
      <c r="D6" s="2">
        <v>46270</v>
      </c>
      <c r="E6" s="2">
        <v>46275</v>
      </c>
    </row>
    <row r="7" spans="1:8" x14ac:dyDescent="0.3">
      <c r="A7" t="s">
        <v>108</v>
      </c>
      <c r="B7" t="s">
        <v>109</v>
      </c>
      <c r="C7" t="s">
        <v>59</v>
      </c>
      <c r="D7" s="2">
        <v>46271</v>
      </c>
      <c r="E7" s="2">
        <v>46276</v>
      </c>
    </row>
    <row r="8" spans="1:8" x14ac:dyDescent="0.3">
      <c r="A8" t="s">
        <v>110</v>
      </c>
      <c r="B8" t="s">
        <v>111</v>
      </c>
      <c r="C8" t="s">
        <v>112</v>
      </c>
      <c r="D8" s="2">
        <v>46272</v>
      </c>
      <c r="E8" s="2">
        <v>46277</v>
      </c>
    </row>
    <row r="9" spans="1:8" x14ac:dyDescent="0.3">
      <c r="A9" t="s">
        <v>113</v>
      </c>
      <c r="B9" t="s">
        <v>114</v>
      </c>
      <c r="C9" t="s">
        <v>65</v>
      </c>
      <c r="D9" s="2">
        <v>46273</v>
      </c>
      <c r="E9" s="2">
        <v>46278</v>
      </c>
    </row>
    <row r="10" spans="1:8" x14ac:dyDescent="0.3">
      <c r="A10" t="s">
        <v>115</v>
      </c>
      <c r="B10" t="s">
        <v>116</v>
      </c>
      <c r="C10" t="s">
        <v>117</v>
      </c>
      <c r="D10" s="2">
        <v>46274</v>
      </c>
      <c r="E10" s="2">
        <v>46279</v>
      </c>
    </row>
    <row r="11" spans="1:8" x14ac:dyDescent="0.3">
      <c r="A11" t="s">
        <v>118</v>
      </c>
      <c r="B11" t="s">
        <v>119</v>
      </c>
      <c r="C11" t="s">
        <v>120</v>
      </c>
      <c r="D11" s="2">
        <v>46275</v>
      </c>
      <c r="E11" s="2">
        <v>46280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2026-09-24T08:45:13Z</dcterms:created>
  <dcterms:modified xsi:type="dcterms:W3CDTF">2026-09-24T09:20:35Z</dcterms:modified>
</cp:coreProperties>
</file>